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작성규칙" sheetId="2" state="visible" r:id="rId2"/>
    <sheet xmlns:r="http://schemas.openxmlformats.org/officeDocument/2006/relationships" name="색인" sheetId="3" state="visible" r:id="rId3"/>
  </sheets>
  <definedNames>
    <definedName name="_xlnm._FilterDatabase" localSheetId="2" hidden="1">'색인'!$A$1:$D$11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937"/>
      <sz val="10"/>
    </font>
    <font>
      <color rgb="001F2937"/>
      <sz val="10"/>
    </font>
  </fonts>
  <fills count="27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center" vertical="center" wrapText="1"/>
    </xf>
    <xf numFmtId="0" fontId="1" fillId="26" borderId="0" applyAlignment="1" pivotButton="0" quotePrefix="0" xfId="0">
      <alignment horizontal="left" vertical="top" wrapText="1"/>
    </xf>
    <xf numFmtId="0" fontId="0" fillId="26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6" customWidth="1" min="4" max="4"/>
    <col width="20" customWidth="1" min="5" max="5"/>
    <col width="8" customWidth="1" min="6" max="6"/>
    <col width="22" customWidth="1" min="7" max="7"/>
    <col width="26" customWidth="1" min="8" max="8"/>
    <col width="11" customWidth="1" min="9" max="9"/>
    <col width="14" customWidth="1" min="10" max="10"/>
    <col width="16" customWidth="1" min="11" max="11"/>
    <col width="16" customWidth="1" min="12" max="12"/>
    <col width="22" customWidth="1" min="13" max="13"/>
    <col width="7" customWidth="1" min="14" max="14"/>
    <col width="7" customWidth="1" min="15" max="15"/>
    <col width="10" customWidth="1" min="16" max="16"/>
    <col width="8" customWidth="1" min="17" max="17"/>
    <col width="16" customWidth="1" min="18" max="18"/>
    <col width="45" customWidth="1" min="19" max="19"/>
    <col width="18" customWidth="1" min="20" max="20"/>
    <col width="14" customWidth="1" min="21" max="21"/>
    <col width="22" customWidth="1" min="22" max="22"/>
    <col width="12" customWidth="1" min="23" max="23"/>
    <col width="22" customWidth="1" min="24" max="24"/>
    <col width="12" customWidth="1" min="25" max="25"/>
    <col width="22" customWidth="1" min="26" max="26"/>
    <col width="12" customWidth="1" min="27" max="27"/>
    <col width="22" customWidth="1" min="28" max="28"/>
    <col width="12" customWidth="1" min="29" max="29"/>
    <col width="8" customWidth="1" min="30" max="30"/>
    <col width="50" customWidth="1" min="31" max="31"/>
    <col width="40" customWidth="1" min="32" max="32"/>
    <col width="50" customWidth="1" min="33" max="33"/>
  </cols>
  <sheetData>
    <row r="1">
      <c r="A1" s="1" t="inlineStr">
        <is>
          <t>출처</t>
        </is>
      </c>
      <c r="G1" s="2" t="inlineStr">
        <is>
          <t>코드</t>
        </is>
      </c>
      <c r="H1" s="3" t="inlineStr">
        <is>
          <t>강의</t>
        </is>
      </c>
      <c r="I1" s="4" t="inlineStr">
        <is>
          <t>분류</t>
        </is>
      </c>
      <c r="N1" s="5" t="inlineStr">
        <is>
          <t>속성</t>
        </is>
      </c>
      <c r="S1" s="6" t="inlineStr">
        <is>
          <t>발문</t>
        </is>
      </c>
      <c r="V1" s="7" t="inlineStr">
        <is>
          <t>보기</t>
        </is>
      </c>
      <c r="AD1" s="8" t="inlineStr">
        <is>
          <t>정답</t>
        </is>
      </c>
      <c r="AE1" s="9" t="inlineStr">
        <is>
          <t>해설</t>
        </is>
      </c>
      <c r="AF1" s="10" t="inlineStr">
        <is>
          <t>오답분석</t>
        </is>
      </c>
      <c r="AG1" s="11" t="inlineStr">
        <is>
          <t>학습POINT</t>
        </is>
      </c>
    </row>
    <row r="2">
      <c r="A2" s="12" t="inlineStr">
        <is>
          <t>과정</t>
        </is>
      </c>
      <c r="B2" s="12" t="inlineStr">
        <is>
          <t>연도</t>
        </is>
      </c>
      <c r="C2" s="12" t="inlineStr">
        <is>
          <t>회차</t>
        </is>
      </c>
      <c r="D2" s="12" t="inlineStr">
        <is>
          <t>번호</t>
        </is>
      </c>
      <c r="E2" s="12" t="inlineStr">
        <is>
          <t>사용교재</t>
        </is>
      </c>
      <c r="F2" s="12" t="inlineStr">
        <is>
          <t>교재구분</t>
        </is>
      </c>
      <c r="G2" s="13" t="inlineStr">
        <is>
          <t>문항코드</t>
        </is>
      </c>
      <c r="H2" s="14" t="inlineStr">
        <is>
          <t>강의주소</t>
        </is>
      </c>
      <c r="I2" s="15" t="inlineStr">
        <is>
          <t>과목ID</t>
        </is>
      </c>
      <c r="J2" s="15" t="inlineStr">
        <is>
          <t>챕터</t>
        </is>
      </c>
      <c r="K2" s="15" t="inlineStr">
        <is>
          <t>대유형</t>
        </is>
      </c>
      <c r="L2" s="15" t="inlineStr">
        <is>
          <t>중유형</t>
        </is>
      </c>
      <c r="M2" s="15" t="inlineStr">
        <is>
          <t>내용</t>
        </is>
      </c>
      <c r="N2" s="16" t="inlineStr">
        <is>
          <t>빈출도</t>
        </is>
      </c>
      <c r="O2" s="16" t="inlineStr">
        <is>
          <t>난이도</t>
        </is>
      </c>
      <c r="P2" s="16" t="inlineStr">
        <is>
          <t>문제유형</t>
        </is>
      </c>
      <c r="Q2" s="16" t="inlineStr">
        <is>
          <t>변형이력</t>
        </is>
      </c>
      <c r="R2" s="16" t="inlineStr">
        <is>
          <t>비고</t>
        </is>
      </c>
      <c r="S2" s="17" t="inlineStr">
        <is>
          <t>발문</t>
        </is>
      </c>
      <c r="T2" s="17" t="inlineStr">
        <is>
          <t>조건</t>
        </is>
      </c>
      <c r="U2" s="18" t="inlineStr">
        <is>
          <t>발문그림</t>
        </is>
      </c>
      <c r="V2" s="19" t="inlineStr">
        <is>
          <t>보기1</t>
        </is>
      </c>
      <c r="W2" s="18" t="inlineStr">
        <is>
          <t>보기1그림</t>
        </is>
      </c>
      <c r="X2" s="19" t="inlineStr">
        <is>
          <t>보기2</t>
        </is>
      </c>
      <c r="Y2" s="18" t="inlineStr">
        <is>
          <t>보기2그림</t>
        </is>
      </c>
      <c r="Z2" s="19" t="inlineStr">
        <is>
          <t>보기3</t>
        </is>
      </c>
      <c r="AA2" s="18" t="inlineStr">
        <is>
          <t>보기3그림</t>
        </is>
      </c>
      <c r="AB2" s="19" t="inlineStr">
        <is>
          <t>보기4</t>
        </is>
      </c>
      <c r="AC2" s="18" t="inlineStr">
        <is>
          <t>보기4그림</t>
        </is>
      </c>
      <c r="AD2" s="20" t="inlineStr">
        <is>
          <t>정답(1~4)</t>
        </is>
      </c>
      <c r="AE2" s="21" t="inlineStr">
        <is>
          <t>해설</t>
        </is>
      </c>
      <c r="AF2" s="22" t="inlineStr">
        <is>
          <t>오답분석</t>
        </is>
      </c>
      <c r="AG2" s="23" t="inlineStr">
        <is>
          <t>학습포인트</t>
        </is>
      </c>
    </row>
    <row r="3" ht="150" customHeight="1">
      <c r="A3" s="24" t="inlineStr">
        <is>
          <t>전기기능사</t>
        </is>
      </c>
      <c r="B3" s="24" t="n">
        <v>2022</v>
      </c>
      <c r="C3" s="24" t="n">
        <v>1</v>
      </c>
      <c r="D3" s="24" t="n">
        <v>1</v>
      </c>
      <c r="E3" s="25" t="inlineStr">
        <is>
          <t>독끝 전기기능사 필기</t>
        </is>
      </c>
      <c r="F3" s="24" t="inlineStr">
        <is>
          <t>A</t>
        </is>
      </c>
      <c r="G3" s="25" t="inlineStr">
        <is>
          <t>elec_A_2022_01_01</t>
        </is>
      </c>
      <c r="H3" s="24" t="inlineStr"/>
      <c r="I3" s="24" t="inlineStr">
        <is>
          <t>theory</t>
        </is>
      </c>
      <c r="J3" s="24" t="inlineStr">
        <is>
          <t>정전기</t>
        </is>
      </c>
      <c r="K3" s="24" t="inlineStr">
        <is>
          <t>콘덴서</t>
        </is>
      </c>
      <c r="L3" s="24" t="inlineStr">
        <is>
          <t>정전용량</t>
        </is>
      </c>
      <c r="M3" s="25" t="inlineStr">
        <is>
          <t>정전용량 비례 관계</t>
        </is>
      </c>
      <c r="N3" s="24" t="n">
        <v>5</v>
      </c>
      <c r="O3" s="24" t="n">
        <v>2</v>
      </c>
      <c r="P3" s="24" t="inlineStr">
        <is>
          <t>단답형</t>
        </is>
      </c>
      <c r="Q3" s="24" t="n">
        <v>0</v>
      </c>
      <c r="R3" s="24" t="inlineStr"/>
      <c r="S3" s="25" t="inlineStr">
        <is>
          <t>콘덴서의 정전용량에 대한 설명으로 &lt;strong&gt;틀린&lt;/strong&gt; 것은?</t>
        </is>
      </c>
      <c r="T3" s="24" t="inlineStr"/>
      <c r="U3" s="24" t="inlineStr"/>
      <c r="V3" s="25" t="inlineStr">
        <is>
          <t>전압에 반비례한다.</t>
        </is>
      </c>
      <c r="W3" s="24" t="inlineStr"/>
      <c r="X3" s="25" t="inlineStr">
        <is>
          <t>이동 전하량에 비례한다.</t>
        </is>
      </c>
      <c r="Y3" s="24" t="inlineStr"/>
      <c r="Z3" s="25" t="inlineStr">
        <is>
          <t>극판의 넓이에 비례한다.</t>
        </is>
      </c>
      <c r="AA3" s="24" t="inlineStr"/>
      <c r="AB3" s="25" t="inlineStr">
        <is>
          <t>극판의 간격에 비례한다.</t>
        </is>
      </c>
      <c r="AC3" s="24" t="inlineStr"/>
      <c r="AD3" s="24" t="n">
        <v>4</v>
      </c>
      <c r="AE3" s="25" t="inlineStr">
        <is>
          <t>정전용량 $C$ 은 극판의 넓이 $A$ 에 비례하고 극판의 간격 $d$ 에 반비례한다. 따라서 ④ '극판의 간격에 비례한다'는 설명은 틀린 것이다.</t>
        </is>
      </c>
      <c r="AF3" s="25" t="inlineStr">
        <is>
          <t>① $C=\dfrac{Q}{V}$ 관계에 의해 전압에 반비례한다.&lt;br&gt;
② $C=\dfrac{Q}{V}$ 관계에 의해 전하량에 비례한다.&lt;br&gt;
③ 정전용량 공식에 의해 넓이에 비례한다.</t>
        </is>
      </c>
      <c r="AG3" s="25" t="inlineStr">
        <is>
          <t>정전용량 공식
&lt;div style="border:1px solid #cbd5e1;background:#f1f5f9;border-radius:8px;padding:10px 14px;margin:8px 0;"&gt;
&lt;strong style="color:#475569;"&gt;독끝 학습 Point&lt;/strong&gt;&lt;br&gt;
$$C=\dfrac{\varepsilon S}{d}\;[\text{F}]$$
$\varepsilon$: 유전율[F/m] · $S$: 극판 단면적[m²] · $d$: 극판 간격[m]
&lt;/div&gt;</t>
        </is>
      </c>
    </row>
    <row r="4" ht="150" customHeight="1">
      <c r="A4" s="24" t="inlineStr">
        <is>
          <t>전기기능사</t>
        </is>
      </c>
      <c r="B4" s="24" t="n">
        <v>2022</v>
      </c>
      <c r="C4" s="24" t="n">
        <v>1</v>
      </c>
      <c r="D4" s="24" t="n">
        <v>2</v>
      </c>
      <c r="E4" s="25" t="inlineStr">
        <is>
          <t>독끝 전기기능사 필기</t>
        </is>
      </c>
      <c r="F4" s="24" t="inlineStr">
        <is>
          <t>A</t>
        </is>
      </c>
      <c r="G4" s="25" t="inlineStr">
        <is>
          <t>elec_A_2022_01_02</t>
        </is>
      </c>
      <c r="H4" s="24" t="inlineStr"/>
      <c r="I4" s="24" t="inlineStr">
        <is>
          <t>theory</t>
        </is>
      </c>
      <c r="J4" s="24" t="inlineStr">
        <is>
          <t>정전기</t>
        </is>
      </c>
      <c r="K4" s="24" t="inlineStr">
        <is>
          <t>정전에너지</t>
        </is>
      </c>
      <c r="L4" s="24" t="inlineStr">
        <is>
          <t>에너지 공식</t>
        </is>
      </c>
      <c r="M4" s="24" t="inlineStr">
        <is>
          <t>정전에너지 식</t>
        </is>
      </c>
      <c r="N4" s="24" t="n">
        <v>5</v>
      </c>
      <c r="O4" s="24" t="n">
        <v>2</v>
      </c>
      <c r="P4" s="24" t="inlineStr">
        <is>
          <t>단답형</t>
        </is>
      </c>
      <c r="Q4" s="24" t="n">
        <v>0</v>
      </c>
      <c r="R4" s="24" t="inlineStr"/>
      <c r="S4" s="25" t="inlineStr">
        <is>
          <t>정전에너지 $W[\text{J}]$ 를 구하는 식으로 옳은 것은? (단, $C$ 는 콘덴서용량 $[\text{F}]$, $V$ 는 공급전압 $[\text{V}]$ 이다.)</t>
        </is>
      </c>
      <c r="T4" s="24" t="inlineStr"/>
      <c r="U4" s="24" t="inlineStr"/>
      <c r="V4" s="25" t="inlineStr">
        <is>
          <t>$W=\dfrac{1}{2}CV^2$</t>
        </is>
      </c>
      <c r="W4" s="24" t="inlineStr"/>
      <c r="X4" s="25" t="inlineStr">
        <is>
          <t>$W=\dfrac{1}{2}CV$</t>
        </is>
      </c>
      <c r="Y4" s="24" t="inlineStr"/>
      <c r="Z4" s="25" t="inlineStr">
        <is>
          <t>$W=\dfrac{1}{2}C^2 V$</t>
        </is>
      </c>
      <c r="AA4" s="24" t="inlineStr"/>
      <c r="AB4" s="25" t="inlineStr">
        <is>
          <t>$W=2CV^2$</t>
        </is>
      </c>
      <c r="AC4" s="24" t="inlineStr"/>
      <c r="AD4" s="24" t="n">
        <v>1</v>
      </c>
      <c r="AE4" s="25" t="inlineStr">
        <is>
          <t>정전에너지 공식
&lt;div style="border:1px solid #cbd5e1;background:#f1f5f9;border-radius:8px;padding:10px 14px;margin:8px 0;"&gt;
&lt;strong style="color:#475569;"&gt;독끝 학습 Point&lt;/strong&gt;&lt;br&gt;
$$W=\dfrac{1}{2}CV^2\;[\text{J}]$$
$W$: 정전에너지[J] · $C$: 정전용량[F] · $V$: 전압[V]
&lt;/div&gt;</t>
        </is>
      </c>
      <c r="AF4" s="24" t="inlineStr"/>
      <c r="AG4" s="24" t="inlineStr"/>
    </row>
    <row r="5" ht="150" customHeight="1">
      <c r="A5" s="24" t="inlineStr">
        <is>
          <t>전기기능사</t>
        </is>
      </c>
      <c r="B5" s="24" t="n">
        <v>2022</v>
      </c>
      <c r="C5" s="24" t="n">
        <v>1</v>
      </c>
      <c r="D5" s="24" t="n">
        <v>3</v>
      </c>
      <c r="E5" s="25" t="inlineStr">
        <is>
          <t>독끝 전기기능사 필기</t>
        </is>
      </c>
      <c r="F5" s="24" t="inlineStr">
        <is>
          <t>A</t>
        </is>
      </c>
      <c r="G5" s="25" t="inlineStr">
        <is>
          <t>elec_A_2022_01_05</t>
        </is>
      </c>
      <c r="H5" s="24" t="inlineStr"/>
      <c r="I5" s="24" t="inlineStr">
        <is>
          <t>theory</t>
        </is>
      </c>
      <c r="J5" s="24" t="inlineStr">
        <is>
          <t>교류</t>
        </is>
      </c>
      <c r="K5" s="24" t="inlineStr">
        <is>
          <t>3상 결선</t>
        </is>
      </c>
      <c r="L5" s="24" t="inlineStr">
        <is>
          <t>Y결선</t>
        </is>
      </c>
      <c r="M5" s="25" t="inlineStr">
        <is>
          <t>선간·상전압 관계</t>
        </is>
      </c>
      <c r="N5" s="24" t="n">
        <v>5</v>
      </c>
      <c r="O5" s="24" t="n">
        <v>2</v>
      </c>
      <c r="P5" s="24" t="inlineStr">
        <is>
          <t>단답형</t>
        </is>
      </c>
      <c r="Q5" s="24" t="n">
        <v>0</v>
      </c>
      <c r="R5" s="24" t="inlineStr"/>
      <c r="S5" s="25" t="inlineStr">
        <is>
          <t>평형 3상 교류회로에서 Y결선할 때 선간전압 $V_l$ 과 상전압 $V_p$ 의 관계는?</t>
        </is>
      </c>
      <c r="T5" s="24" t="inlineStr"/>
      <c r="U5" s="24" t="inlineStr"/>
      <c r="V5" s="25" t="inlineStr">
        <is>
          <t>$V_l=V_p$</t>
        </is>
      </c>
      <c r="W5" s="24" t="inlineStr"/>
      <c r="X5" s="25" t="inlineStr">
        <is>
          <t>$V_l=\sqrt{2}\,V_p$</t>
        </is>
      </c>
      <c r="Y5" s="24" t="inlineStr"/>
      <c r="Z5" s="25" t="inlineStr">
        <is>
          <t>$V_l=\sqrt{3}\,V_p$</t>
        </is>
      </c>
      <c r="AA5" s="24" t="inlineStr"/>
      <c r="AB5" s="25" t="inlineStr">
        <is>
          <t>$V_l=\dfrac{1}{\sqrt{3}}V_p$</t>
        </is>
      </c>
      <c r="AC5" s="24" t="inlineStr"/>
      <c r="AD5" s="24" t="n">
        <v>3</v>
      </c>
      <c r="AE5" s="25" t="inlineStr">
        <is>
          <t>Y 결선에서는 선간전압이 상전압의 $\sqrt{3}$ 배이다.
&lt;div style="border:1px solid #cbd5e1;background:#f1f5f9;border-radius:8px;padding:10px 14px;margin:8px 0;"&gt;
&lt;strong style="color:#475569;"&gt;독끝 학습 Point&lt;/strong&gt;&lt;br&gt;
$$V_l=\sqrt{3}\,V_p$$
$V_l$: 선간전압[V] · $V_p$: 상전압[V]
&lt;/div&gt;</t>
        </is>
      </c>
      <c r="AF5" s="24" t="inlineStr"/>
      <c r="AG5" s="24" t="inlineStr"/>
    </row>
    <row r="6" ht="150" customHeight="1">
      <c r="A6" s="24" t="inlineStr">
        <is>
          <t>전기기능사</t>
        </is>
      </c>
      <c r="B6" s="24" t="n">
        <v>2022</v>
      </c>
      <c r="C6" s="24" t="n">
        <v>1</v>
      </c>
      <c r="D6" s="24" t="n">
        <v>4</v>
      </c>
      <c r="E6" s="25" t="inlineStr">
        <is>
          <t>독끝 전기기능사 필기</t>
        </is>
      </c>
      <c r="F6" s="24" t="inlineStr">
        <is>
          <t>A</t>
        </is>
      </c>
      <c r="G6" s="25" t="inlineStr">
        <is>
          <t>elec_A_2022_01_07</t>
        </is>
      </c>
      <c r="H6" s="24" t="inlineStr"/>
      <c r="I6" s="24" t="inlineStr">
        <is>
          <t>theory</t>
        </is>
      </c>
      <c r="J6" s="24" t="inlineStr">
        <is>
          <t>직류</t>
        </is>
      </c>
      <c r="K6" s="24" t="inlineStr">
        <is>
          <t>전력</t>
        </is>
      </c>
      <c r="L6" s="24" t="inlineStr">
        <is>
          <t>전력량과 전력</t>
        </is>
      </c>
      <c r="M6" s="24" t="inlineStr">
        <is>
          <t>전력 계산</t>
        </is>
      </c>
      <c r="N6" s="24" t="n">
        <v>5</v>
      </c>
      <c r="O6" s="24" t="n">
        <v>2</v>
      </c>
      <c r="P6" s="24" t="inlineStr">
        <is>
          <t>계산형</t>
        </is>
      </c>
      <c r="Q6" s="24" t="n">
        <v>0</v>
      </c>
      <c r="R6" s="24" t="inlineStr"/>
      <c r="S6" s="25" t="inlineStr">
        <is>
          <t>20분간 $876{,}000[\text{J}]$ 의 일을 할 때 전력은 약 몇 $[\text{kW}]$ 인가?</t>
        </is>
      </c>
      <c r="T6" s="24" t="inlineStr"/>
      <c r="U6" s="24" t="inlineStr"/>
      <c r="V6" s="24" t="inlineStr">
        <is>
          <t>0.73</t>
        </is>
      </c>
      <c r="W6" s="24" t="inlineStr"/>
      <c r="X6" s="24" t="inlineStr">
        <is>
          <t>7.3</t>
        </is>
      </c>
      <c r="Y6" s="24" t="inlineStr"/>
      <c r="Z6" s="24" t="inlineStr">
        <is>
          <t>73</t>
        </is>
      </c>
      <c r="AA6" s="24" t="inlineStr"/>
      <c r="AB6" s="24" t="inlineStr">
        <is>
          <t>730</t>
        </is>
      </c>
      <c r="AC6" s="24" t="inlineStr"/>
      <c r="AD6" s="24" t="n">
        <v>1</v>
      </c>
      <c r="AE6" s="25" t="inlineStr">
        <is>
          <t>전력량이 $[\text{J}]$ 단위이므로 시간을 초 $[\text{s}]$ 로 환산해 공식에 대입한다.
$$P=\dfrac{876{,}000}{20\times 60}=730\,[\text{W}]=0.73\,[\text{kW}]$$</t>
        </is>
      </c>
      <c r="AF6" s="24" t="inlineStr"/>
      <c r="AG6" s="25" t="inlineStr">
        <is>
          <t>전력량과 전력
&lt;div style="border:1px solid #cbd5e1;background:#f1f5f9;border-radius:8px;padding:10px 14px;margin:8px 0;"&gt;
&lt;strong style="color:#475569;"&gt;독끝 학습 Point&lt;/strong&gt;&lt;br&gt;
$$P=\dfrac{W}{t}\;[\text{W}]$$
$W$: 전력량[J] · $t$: 시간[s] · $P$: 전력[W]
&lt;/div&gt;</t>
        </is>
      </c>
    </row>
    <row r="7" ht="150" customHeight="1">
      <c r="A7" s="24" t="inlineStr">
        <is>
          <t>전기기능사</t>
        </is>
      </c>
      <c r="B7" s="24" t="n">
        <v>2022</v>
      </c>
      <c r="C7" s="24" t="n">
        <v>1</v>
      </c>
      <c r="D7" s="24" t="n">
        <v>5</v>
      </c>
      <c r="E7" s="25" t="inlineStr">
        <is>
          <t>독끝 전기기능사 필기</t>
        </is>
      </c>
      <c r="F7" s="24" t="inlineStr">
        <is>
          <t>A</t>
        </is>
      </c>
      <c r="G7" s="25" t="inlineStr">
        <is>
          <t>elec_A_2022_01_11</t>
        </is>
      </c>
      <c r="H7" s="24" t="inlineStr"/>
      <c r="I7" s="24" t="inlineStr">
        <is>
          <t>theory</t>
        </is>
      </c>
      <c r="J7" s="24" t="inlineStr">
        <is>
          <t>교류</t>
        </is>
      </c>
      <c r="K7" s="24" t="inlineStr">
        <is>
          <t>순시값</t>
        </is>
      </c>
      <c r="L7" s="24" t="inlineStr">
        <is>
          <t>주파수</t>
        </is>
      </c>
      <c r="M7" s="24" t="inlineStr">
        <is>
          <t>각속도-주파수</t>
        </is>
      </c>
      <c r="N7" s="24" t="n">
        <v>5</v>
      </c>
      <c r="O7" s="24" t="n">
        <v>3</v>
      </c>
      <c r="P7" s="24" t="inlineStr">
        <is>
          <t>계산형</t>
        </is>
      </c>
      <c r="Q7" s="24" t="n">
        <v>0</v>
      </c>
      <c r="R7" s="24" t="inlineStr"/>
      <c r="S7" s="25" t="inlineStr">
        <is>
          <t>다음 전압 파형의 주파수는 약 몇 $[\text{Hz}]$ 인가?
$$e=100\sin\!\left(377t-\dfrac{\pi}{5}\right)[\text{V}]$$</t>
        </is>
      </c>
      <c r="T7" s="24" t="inlineStr"/>
      <c r="U7" s="24" t="inlineStr"/>
      <c r="V7" s="24" t="inlineStr">
        <is>
          <t>50</t>
        </is>
      </c>
      <c r="W7" s="24" t="inlineStr"/>
      <c r="X7" s="24" t="inlineStr">
        <is>
          <t>60</t>
        </is>
      </c>
      <c r="Y7" s="24" t="inlineStr"/>
      <c r="Z7" s="24" t="inlineStr">
        <is>
          <t>80</t>
        </is>
      </c>
      <c r="AA7" s="24" t="inlineStr"/>
      <c r="AB7" s="24" t="inlineStr">
        <is>
          <t>100</t>
        </is>
      </c>
      <c r="AC7" s="24" t="inlineStr"/>
      <c r="AD7" s="24" t="n">
        <v>2</v>
      </c>
      <c r="AE7" s="25" t="inlineStr">
        <is>
          <t>주어진 식에서 각속도 $\omega=2\pi f=377$ 임을 알 수 있다. 따라서
$$f=\dfrac{377}{2\pi}\approx 60\,[\text{Hz}]$$</t>
        </is>
      </c>
      <c r="AF7" s="24" t="inlineStr"/>
      <c r="AG7" s="25" t="inlineStr">
        <is>
          <t>교류 순시값 표현식
&lt;div style="border:1px solid #cbd5e1;background:#f1f5f9;border-radius:8px;padding:10px 14px;margin:8px 0;"&gt;
&lt;strong style="color:#475569;"&gt;독끝 학습 Point&lt;/strong&gt;&lt;br&gt;
$$e=V_m\sin(\omega t+\theta)=V_m\sin(2\pi f t+\theta)\;[\text{V}]$$
$V_m$: 전압 최댓값[V] · $\omega$: 각속도[rad/s] · $\theta$: 위상 · $f$: 주파수[Hz]
&lt;/div&gt;</t>
        </is>
      </c>
    </row>
    <row r="8" ht="150" customHeight="1">
      <c r="A8" s="24" t="inlineStr">
        <is>
          <t>전기기능사</t>
        </is>
      </c>
      <c r="B8" s="24" t="n">
        <v>2022</v>
      </c>
      <c r="C8" s="24" t="n">
        <v>1</v>
      </c>
      <c r="D8" s="24" t="n">
        <v>6</v>
      </c>
      <c r="E8" s="25" t="inlineStr">
        <is>
          <t>독끝 전기기능사 필기</t>
        </is>
      </c>
      <c r="F8" s="24" t="inlineStr">
        <is>
          <t>A</t>
        </is>
      </c>
      <c r="G8" s="25" t="inlineStr">
        <is>
          <t>elec_A_2022_01_13</t>
        </is>
      </c>
      <c r="H8" s="24" t="inlineStr"/>
      <c r="I8" s="24" t="inlineStr">
        <is>
          <t>theory</t>
        </is>
      </c>
      <c r="J8" s="24" t="inlineStr">
        <is>
          <t>정자계</t>
        </is>
      </c>
      <c r="K8" s="24" t="inlineStr">
        <is>
          <t>쿨롱의 법칙</t>
        </is>
      </c>
      <c r="L8" s="24" t="inlineStr">
        <is>
          <t>자기력 계산</t>
        </is>
      </c>
      <c r="M8" s="25" t="inlineStr">
        <is>
          <t>두 자극 사이 힘</t>
        </is>
      </c>
      <c r="N8" s="24" t="n">
        <v>3</v>
      </c>
      <c r="O8" s="24" t="n">
        <v>3</v>
      </c>
      <c r="P8" s="24" t="inlineStr">
        <is>
          <t>계산형</t>
        </is>
      </c>
      <c r="Q8" s="24" t="n">
        <v>0</v>
      </c>
      <c r="R8" s="24" t="inlineStr"/>
      <c r="S8" s="25" t="inlineStr">
        <is>
          <t>$m_1=4\times10^{-5}[\text{Wb}]$, $m_2=6\times10^{-3}[\text{Wb}]$, $r=10[\text{cm}]$ 이면, 두 자극 $m_1,\,m_2$ 사이에 작용하는 힘은 약 몇 $[\text{N}]$ 인가?</t>
        </is>
      </c>
      <c r="T8" s="24" t="inlineStr"/>
      <c r="U8" s="24" t="inlineStr"/>
      <c r="V8" s="24" t="inlineStr">
        <is>
          <t>1.52</t>
        </is>
      </c>
      <c r="W8" s="24" t="inlineStr"/>
      <c r="X8" s="24" t="inlineStr">
        <is>
          <t>2.4</t>
        </is>
      </c>
      <c r="Y8" s="24" t="inlineStr"/>
      <c r="Z8" s="24" t="inlineStr">
        <is>
          <t>24</t>
        </is>
      </c>
      <c r="AA8" s="24" t="inlineStr"/>
      <c r="AB8" s="24" t="inlineStr">
        <is>
          <t>152</t>
        </is>
      </c>
      <c r="AC8" s="24" t="inlineStr"/>
      <c r="AD8" s="24" t="n">
        <v>1</v>
      </c>
      <c r="AE8" s="25" t="inlineStr">
        <is>
          <t>길이를 $[\text{m}]$ 단위로 환산해 쿨롱의 법칙에 대입한다.
$$F=6.33\times10^{4}\times\dfrac{4\times10^{-5}\times 6\times10^{-3}}{(10\times10^{-2})^2}\approx 1.52\,[\text{N}]$$</t>
        </is>
      </c>
      <c r="AF8" s="24" t="inlineStr"/>
      <c r="AG8" s="25" t="inlineStr">
        <is>
          <t>쿨롱의 법칙 (자기장)
&lt;div style="border:1px solid #cbd5e1;background:#f1f5f9;border-radius:8px;padding:10px 14px;margin:8px 0;"&gt;
&lt;strong style="color:#475569;"&gt;독끝 학습 Point&lt;/strong&gt;&lt;br&gt;
$$F=k\dfrac{m_1 m_2}{r^2}=6.33\times10^{4}\times\dfrac{m_1 m_2}{r^2}\;[\text{N}]$$
$k$: 쿨롱 상수 $(6.33\times10^4)$ · $m_1,m_2$: 자극의 세기[Wb] · $r$: 거리[m]
&lt;/div&gt;</t>
        </is>
      </c>
    </row>
    <row r="9" ht="150" customHeight="1">
      <c r="A9" s="24" t="inlineStr">
        <is>
          <t>전기기능사</t>
        </is>
      </c>
      <c r="B9" s="24" t="n">
        <v>2022</v>
      </c>
      <c r="C9" s="24" t="n">
        <v>1</v>
      </c>
      <c r="D9" s="24" t="n">
        <v>7</v>
      </c>
      <c r="E9" s="25" t="inlineStr">
        <is>
          <t>독끝 전기기능사 필기</t>
        </is>
      </c>
      <c r="F9" s="24" t="inlineStr">
        <is>
          <t>A</t>
        </is>
      </c>
      <c r="G9" s="25" t="inlineStr">
        <is>
          <t>elec_A_2022_01_23</t>
        </is>
      </c>
      <c r="H9" s="24" t="inlineStr"/>
      <c r="I9" s="25" t="inlineStr">
        <is>
          <t>machinery</t>
        </is>
      </c>
      <c r="J9" s="24" t="inlineStr">
        <is>
          <t>동기기</t>
        </is>
      </c>
      <c r="K9" s="24" t="inlineStr">
        <is>
          <t>전기자 반작용</t>
        </is>
      </c>
      <c r="L9" s="24" t="inlineStr">
        <is>
          <t>반작용 구분</t>
        </is>
      </c>
      <c r="M9" s="25" t="inlineStr">
        <is>
          <t>앞선 전류 반작용</t>
        </is>
      </c>
      <c r="N9" s="24" t="n">
        <v>3</v>
      </c>
      <c r="O9" s="24" t="n">
        <v>3</v>
      </c>
      <c r="P9" s="24" t="inlineStr">
        <is>
          <t>단답형</t>
        </is>
      </c>
      <c r="Q9" s="24" t="n">
        <v>0</v>
      </c>
      <c r="R9" s="24" t="inlineStr"/>
      <c r="S9" s="25" t="inlineStr">
        <is>
          <t>동기 전동기 전기자 반작용에 대한 설명이다. 공급전압에 대한 &lt;strong&gt;앞선 전류&lt;/strong&gt;의 전기자 반작용은?</t>
        </is>
      </c>
      <c r="T9" s="24" t="inlineStr"/>
      <c r="U9" s="24" t="inlineStr"/>
      <c r="V9" s="24" t="inlineStr">
        <is>
          <t>감자 작용</t>
        </is>
      </c>
      <c r="W9" s="24" t="inlineStr"/>
      <c r="X9" s="24" t="inlineStr">
        <is>
          <t>증자 작용</t>
        </is>
      </c>
      <c r="Y9" s="24" t="inlineStr"/>
      <c r="Z9" s="24" t="inlineStr">
        <is>
          <t>교차 자화 작용</t>
        </is>
      </c>
      <c r="AA9" s="24" t="inlineStr"/>
      <c r="AB9" s="24" t="inlineStr">
        <is>
          <t>편자 작용</t>
        </is>
      </c>
      <c r="AC9" s="24" t="inlineStr"/>
      <c r="AD9" s="24" t="n">
        <v>1</v>
      </c>
      <c r="AE9" s="25" t="inlineStr">
        <is>
          <t>동기 전동기의 전기자 반작용은 부하 전류의 위상(역률)에 따라 다음과 같이 구분된다.
$$\begin{array}{c|c|c|c}
\text{전류 위상} &amp; \text{부하} &amp; \text{작용} &amp; \text{현상} \\ \hline
\text{동상} &amp; R &amp; \text{교차 자화} &amp; \text{주자속 찌그러짐} \\
90^\circ\text{ 지상} &amp; L &amp; \text{감자 작용} &amp; \text{기전력 감소} \\
90^\circ\text{ 진상} &amp; C &amp; \text{증자 작용} &amp; \text{기전력 증가}
\end{array}$$
문제에서는 $90^\circ$ 앞선(진상) 전류가 흐르므로 &lt;strong&gt;감자 작용&lt;/strong&gt;을 하여 기전력을 감소시킨다.</t>
        </is>
      </c>
      <c r="AF9" s="24" t="inlineStr"/>
      <c r="AG9" s="25" t="inlineStr">
        <is>
          <t>동기 발전기와 전동기는 $L,\,C$ 부하에 대해 반작용 특성이 서로 반대로 발생한다.
&lt;div style="border:1px solid #cbd5e1;background:#f1f5f9;border-radius:8px;padding:10px 14px;margin:8px 0;"&gt;
&lt;strong style="color:#475569;"&gt;독끝 학습 Point&lt;/strong&gt;&lt;br&gt;
발전기의 지상(L)=감자, 전동기의 지상(L)=증자. 발전기 기준으로만 외우면 전동기에서 반대로 틀린다.
&lt;/div&gt;</t>
        </is>
      </c>
    </row>
    <row r="10" ht="150" customHeight="1">
      <c r="A10" s="24" t="inlineStr">
        <is>
          <t>전기기능사</t>
        </is>
      </c>
      <c r="B10" s="24" t="n">
        <v>2022</v>
      </c>
      <c r="C10" s="24" t="n">
        <v>1</v>
      </c>
      <c r="D10" s="24" t="n">
        <v>8</v>
      </c>
      <c r="E10" s="25" t="inlineStr">
        <is>
          <t>독끝 전기기능사 필기</t>
        </is>
      </c>
      <c r="F10" s="24" t="inlineStr">
        <is>
          <t>A</t>
        </is>
      </c>
      <c r="G10" s="25" t="inlineStr">
        <is>
          <t>elec_A_2022_01_32</t>
        </is>
      </c>
      <c r="H10" s="24" t="inlineStr"/>
      <c r="I10" s="25" t="inlineStr">
        <is>
          <t>machinery</t>
        </is>
      </c>
      <c r="J10" s="24" t="inlineStr">
        <is>
          <t>변압기</t>
        </is>
      </c>
      <c r="K10" s="24" t="inlineStr">
        <is>
          <t>효율</t>
        </is>
      </c>
      <c r="L10" s="24" t="inlineStr">
        <is>
          <t>전부하 효율</t>
        </is>
      </c>
      <c r="M10" s="24" t="inlineStr">
        <is>
          <t>효율 계산</t>
        </is>
      </c>
      <c r="N10" s="24" t="n">
        <v>3</v>
      </c>
      <c r="O10" s="24" t="n">
        <v>3</v>
      </c>
      <c r="P10" s="24" t="inlineStr">
        <is>
          <t>계산형</t>
        </is>
      </c>
      <c r="Q10" s="24" t="n">
        <v>0</v>
      </c>
      <c r="R10" s="24" t="inlineStr"/>
      <c r="S10" s="25" t="inlineStr">
        <is>
          <t>$200[\text{kVA}]$ 의 단상 변압기가 있다. 철손이 $1.6[\text{kW}]$, 전부하 동손이 $2.4[\text{kW}]$ 이다. 변압기의 역률이 $0.8$ 일 때 전부하 시의 효율 $[\%]$ 은 약 얼마인가?</t>
        </is>
      </c>
      <c r="T10" s="24" t="inlineStr"/>
      <c r="U10" s="24" t="inlineStr"/>
      <c r="V10" s="24" t="inlineStr">
        <is>
          <t>96.6</t>
        </is>
      </c>
      <c r="W10" s="24" t="inlineStr"/>
      <c r="X10" s="24" t="inlineStr">
        <is>
          <t>97.6</t>
        </is>
      </c>
      <c r="Y10" s="24" t="inlineStr"/>
      <c r="Z10" s="24" t="inlineStr">
        <is>
          <t>98.6</t>
        </is>
      </c>
      <c r="AA10" s="24" t="inlineStr"/>
      <c r="AB10" s="24" t="inlineStr">
        <is>
          <t>99.6</t>
        </is>
      </c>
      <c r="AC10" s="24" t="inlineStr"/>
      <c r="AD10" s="24" t="n">
        <v>2</v>
      </c>
      <c r="AE10" s="25" t="inlineStr">
        <is>
          <t>출력 $=200\times0.8$, 손실 $=$ 철손 $+$ 동손 으로 두고 효율 공식에 대입한다.
$$\eta=\dfrac{200\times0.8}{200\times0.8+1.6+2.4}\times100\approx 97.6\,[\%]$$</t>
        </is>
      </c>
      <c r="AF10" s="24" t="inlineStr"/>
      <c r="AG10" s="25" t="inlineStr">
        <is>
          <t>변압기의 효율
&lt;div style="border:1px solid #cbd5e1;background:#f1f5f9;border-radius:8px;padding:10px 14px;margin:8px 0;"&gt;
&lt;strong style="color:#475569;"&gt;독끝 학습 Point&lt;/strong&gt;&lt;br&gt;
$$\eta=\dfrac{P}{P+P_c+P_i}\times100\;[\%]$$
$P$: 출력 · $P_c$: 동손 · $P_i$: 철손
&lt;/div&gt;</t>
        </is>
      </c>
    </row>
    <row r="11" ht="150" customHeight="1">
      <c r="A11" s="24" t="inlineStr">
        <is>
          <t>전기기능사</t>
        </is>
      </c>
      <c r="B11" s="24" t="n">
        <v>2022</v>
      </c>
      <c r="C11" s="24" t="n">
        <v>1</v>
      </c>
      <c r="D11" s="24" t="n">
        <v>9</v>
      </c>
      <c r="E11" s="25" t="inlineStr">
        <is>
          <t>독끝 전기기능사 필기</t>
        </is>
      </c>
      <c r="F11" s="24" t="inlineStr">
        <is>
          <t>A</t>
        </is>
      </c>
      <c r="G11" s="25" t="inlineStr">
        <is>
          <t>elec_A_2022_01_39</t>
        </is>
      </c>
      <c r="H11" s="24" t="inlineStr"/>
      <c r="I11" s="24" t="inlineStr">
        <is>
          <t>facility</t>
        </is>
      </c>
      <c r="J11" s="24" t="inlineStr">
        <is>
          <t>반도체 소자</t>
        </is>
      </c>
      <c r="K11" s="24" t="inlineStr">
        <is>
          <t>사이리스터</t>
        </is>
      </c>
      <c r="L11" s="24" t="inlineStr">
        <is>
          <t>TRIAC</t>
        </is>
      </c>
      <c r="M11" s="25" t="inlineStr">
        <is>
          <t>역병렬 SCR 등가 소자</t>
        </is>
      </c>
      <c r="N11" s="24" t="n">
        <v>5</v>
      </c>
      <c r="O11" s="24" t="n">
        <v>2</v>
      </c>
      <c r="P11" s="24" t="inlineStr">
        <is>
          <t>단답형</t>
        </is>
      </c>
      <c r="Q11" s="24" t="n">
        <v>0</v>
      </c>
      <c r="R11" s="24" t="inlineStr"/>
      <c r="S11" s="25" t="inlineStr">
        <is>
          <t>역병렬 결합의 SCR의 특성과 같은 반도체 소자는?</t>
        </is>
      </c>
      <c r="T11" s="24" t="inlineStr"/>
      <c r="U11" s="24" t="inlineStr"/>
      <c r="V11" s="24" t="inlineStr">
        <is>
          <t>PUT</t>
        </is>
      </c>
      <c r="W11" s="24" t="inlineStr"/>
      <c r="X11" s="24" t="inlineStr">
        <is>
          <t>UJT</t>
        </is>
      </c>
      <c r="Y11" s="24" t="inlineStr"/>
      <c r="Z11" s="24" t="inlineStr">
        <is>
          <t>Diac</t>
        </is>
      </c>
      <c r="AA11" s="24" t="inlineStr"/>
      <c r="AB11" s="24" t="inlineStr">
        <is>
          <t>Triac</t>
        </is>
      </c>
      <c r="AC11" s="24" t="inlineStr"/>
      <c r="AD11" s="24" t="n">
        <v>4</v>
      </c>
      <c r="AE11" s="25" t="inlineStr">
        <is>
          <t>역병렬 결합의 SCR과 동일한 특성을 가지며, 쌍방향성 3단자 사이리스터라고 불리는 소자는 &lt;strong&gt;TRIAC(트라이액)&lt;/strong&gt;이다.</t>
        </is>
      </c>
      <c r="AF11" s="25" t="inlineStr">
        <is>
          <t>① ② 발진 회로 등에 사용되는 소자이다.&lt;br&gt;
③ 양방향성 2단자 소자로, 주로 TRIAC의 트리거용으로 사용된다.</t>
        </is>
      </c>
      <c r="AG11" s="25" t="inlineStr">
        <is>
          <t>TRIAC의 심볼&lt;br&gt;
&lt;img src="elec_A_2022_01_39_lp1.png"&gt;</t>
        </is>
      </c>
    </row>
    <row r="12" ht="150" customHeight="1">
      <c r="A12" s="24" t="inlineStr">
        <is>
          <t>전기기능사</t>
        </is>
      </c>
      <c r="B12" s="24" t="n">
        <v>2022</v>
      </c>
      <c r="C12" s="24" t="n">
        <v>1</v>
      </c>
      <c r="D12" s="24" t="n">
        <v>10</v>
      </c>
      <c r="E12" s="25" t="inlineStr">
        <is>
          <t>독끝 전기기능사 필기</t>
        </is>
      </c>
      <c r="F12" s="24" t="inlineStr">
        <is>
          <t>A</t>
        </is>
      </c>
      <c r="G12" s="25" t="inlineStr">
        <is>
          <t>elec_A_2022_01_60</t>
        </is>
      </c>
      <c r="H12" s="24" t="inlineStr"/>
      <c r="I12" s="24" t="inlineStr">
        <is>
          <t>facility</t>
        </is>
      </c>
      <c r="J12" s="24" t="inlineStr">
        <is>
          <t>옥내배선</t>
        </is>
      </c>
      <c r="K12" s="24" t="inlineStr">
        <is>
          <t>특수장소</t>
        </is>
      </c>
      <c r="L12" s="24" t="inlineStr">
        <is>
          <t>가연성 분진</t>
        </is>
      </c>
      <c r="M12" s="25" t="inlineStr">
        <is>
          <t>분진 장소 배선 공사</t>
        </is>
      </c>
      <c r="N12" s="24" t="n">
        <v>3</v>
      </c>
      <c r="O12" s="24" t="n">
        <v>2</v>
      </c>
      <c r="P12" s="24" t="inlineStr">
        <is>
          <t>단답형</t>
        </is>
      </c>
      <c r="Q12" s="24" t="n">
        <v>0</v>
      </c>
      <c r="R12" s="24" t="inlineStr"/>
      <c r="S12" s="25" t="inlineStr">
        <is>
          <t>소맥분, 전분 기타 가연성의 분진이 존재하는 곳의 저압 옥내 배선 공사 방법에 해당되는 것으로 짝지어진 것은?</t>
        </is>
      </c>
      <c r="T12" s="24" t="inlineStr"/>
      <c r="U12" s="24" t="inlineStr"/>
      <c r="V12" s="25" t="inlineStr">
        <is>
          <t>케이블 공사, 애자 사용 공사</t>
        </is>
      </c>
      <c r="W12" s="24" t="inlineStr"/>
      <c r="X12" s="25" t="inlineStr">
        <is>
          <t>금속관 공사, 콤바인 덕트관, 애자 사용 공사</t>
        </is>
      </c>
      <c r="Y12" s="24" t="inlineStr"/>
      <c r="Z12" s="25" t="inlineStr">
        <is>
          <t>케이블 공사, 금속관 공사, 애자 사용 공사</t>
        </is>
      </c>
      <c r="AA12" s="24" t="inlineStr"/>
      <c r="AB12" s="25" t="inlineStr">
        <is>
          <t>케이블 공사, 금속관 공사, 합성수지관 공사</t>
        </is>
      </c>
      <c r="AC12" s="24" t="inlineStr"/>
      <c r="AD12" s="24" t="n">
        <v>4</v>
      </c>
      <c r="AE12" s="25" t="inlineStr">
        <is>
          <t>가연성 분진(밀가루·전분 등)이 있는 장소는 폭발·화재 위험이 크므로 가장 튼튼하고 밀폐성이 좋은 공사 방법을 써야 한다. 밀폐성이 좋은 공사는 &lt;strong&gt;금속관 공사·합성수지관 공사·케이블 공사&lt;/strong&gt;이므로 정답은 ④이다.</t>
        </is>
      </c>
      <c r="AF12" s="24" t="inlineStr"/>
      <c r="AG12" s="24" t="inlineStr"/>
    </row>
    <row r="13" ht="26" customHeight="1">
      <c r="A13" s="24" t="inlineStr">
        <is>
          <t>전기기능사</t>
        </is>
      </c>
      <c r="B13" s="24" t="n">
        <v>2022</v>
      </c>
      <c r="C13" s="24" t="n">
        <v>1</v>
      </c>
      <c r="D13" s="24" t="n">
        <v>11</v>
      </c>
      <c r="E13" s="24" t="inlineStr">
        <is>
          <t>독끝 전기기능사 필기</t>
        </is>
      </c>
      <c r="F13" s="24" t="inlineStr">
        <is>
          <t>A</t>
        </is>
      </c>
      <c r="G13" s="26">
        <f>IF(COUNTA($F13,$B13,$C13,$D13)=4,"elec_"&amp;$F13&amp;"_"&amp;$B13&amp;"_"&amp;TEXT($C13,"00")&amp;"_"&amp;TEXT($D13,"00"),"")</f>
        <v/>
      </c>
      <c r="H13" s="24" t="inlineStr"/>
      <c r="I13" s="24" t="inlineStr"/>
      <c r="J13" s="24" t="inlineStr"/>
      <c r="K13" s="24" t="inlineStr"/>
      <c r="L13" s="24" t="inlineStr"/>
      <c r="M13" s="24" t="inlineStr"/>
      <c r="N13" s="24" t="inlineStr"/>
      <c r="O13" s="24" t="inlineStr"/>
      <c r="P13" s="24" t="inlineStr"/>
      <c r="Q13" s="24" t="inlineStr"/>
      <c r="R13" s="25" t="inlineStr">
        <is>
          <t>← 출처만 채운 데모행: 문항코드 자동 생성됨</t>
        </is>
      </c>
      <c r="S13" s="25" t="inlineStr"/>
      <c r="T13" s="24" t="inlineStr"/>
      <c r="U13" s="24" t="inlineStr"/>
      <c r="V13" s="24" t="inlineStr"/>
      <c r="W13" s="24" t="inlineStr"/>
      <c r="X13" s="24" t="inlineStr"/>
      <c r="Y13" s="24" t="inlineStr"/>
      <c r="Z13" s="24" t="inlineStr"/>
      <c r="AA13" s="24" t="inlineStr"/>
      <c r="AB13" s="24" t="inlineStr"/>
      <c r="AC13" s="24" t="inlineStr"/>
      <c r="AD13" s="24" t="inlineStr"/>
      <c r="AE13" s="24" t="inlineStr"/>
      <c r="AF13" s="24" t="inlineStr"/>
      <c r="AG13" s="24" t="inlineStr"/>
    </row>
    <row r="14" ht="26" customHeight="1">
      <c r="A14" s="24" t="inlineStr"/>
      <c r="B14" s="24" t="inlineStr"/>
      <c r="C14" s="24" t="inlineStr"/>
      <c r="D14" s="24" t="inlineStr"/>
      <c r="E14" s="24" t="inlineStr"/>
      <c r="F14" s="24" t="inlineStr"/>
      <c r="G14" s="26">
        <f>IF(COUNTA($F14,$B14,$C14,$D14)=4,"elec_"&amp;$F14&amp;"_"&amp;$B14&amp;"_"&amp;TEXT($C14,"00")&amp;"_"&amp;TEXT($D14,"00"),"")</f>
        <v/>
      </c>
      <c r="H14" s="24" t="inlineStr"/>
      <c r="I14" s="24" t="inlineStr"/>
      <c r="J14" s="24" t="inlineStr"/>
      <c r="K14" s="24" t="inlineStr"/>
      <c r="L14" s="24" t="inlineStr"/>
      <c r="M14" s="24" t="inlineStr"/>
      <c r="N14" s="24" t="inlineStr"/>
      <c r="O14" s="24" t="inlineStr"/>
      <c r="P14" s="24" t="inlineStr"/>
      <c r="Q14" s="24" t="inlineStr"/>
      <c r="R14" s="25" t="inlineStr"/>
      <c r="S14" s="25" t="inlineStr"/>
      <c r="T14" s="24" t="inlineStr"/>
      <c r="U14" s="24" t="inlineStr"/>
      <c r="V14" s="24" t="inlineStr"/>
      <c r="W14" s="24" t="inlineStr"/>
      <c r="X14" s="24" t="inlineStr"/>
      <c r="Y14" s="24" t="inlineStr"/>
      <c r="Z14" s="24" t="inlineStr"/>
      <c r="AA14" s="24" t="inlineStr"/>
      <c r="AB14" s="24" t="inlineStr"/>
      <c r="AC14" s="24" t="inlineStr"/>
      <c r="AD14" s="24" t="inlineStr"/>
      <c r="AE14" s="24" t="inlineStr"/>
      <c r="AF14" s="24" t="inlineStr"/>
      <c r="AG14" s="24" t="inlineStr"/>
    </row>
    <row r="15" ht="26" customHeight="1">
      <c r="A15" s="24" t="inlineStr"/>
      <c r="B15" s="24" t="inlineStr"/>
      <c r="C15" s="24" t="inlineStr"/>
      <c r="D15" s="24" t="inlineStr"/>
      <c r="E15" s="24" t="inlineStr"/>
      <c r="F15" s="24" t="inlineStr"/>
      <c r="G15" s="26">
        <f>IF(COUNTA($F15,$B15,$C15,$D15)=4,"elec_"&amp;$F15&amp;"_"&amp;$B15&amp;"_"&amp;TEXT($C15,"00")&amp;"_"&amp;TEXT($D15,"00"),"")</f>
        <v/>
      </c>
      <c r="H15" s="24" t="inlineStr"/>
      <c r="I15" s="24" t="inlineStr"/>
      <c r="J15" s="24" t="inlineStr"/>
      <c r="K15" s="24" t="inlineStr"/>
      <c r="L15" s="24" t="inlineStr"/>
      <c r="M15" s="24" t="inlineStr"/>
      <c r="N15" s="24" t="inlineStr"/>
      <c r="O15" s="24" t="inlineStr"/>
      <c r="P15" s="24" t="inlineStr"/>
      <c r="Q15" s="24" t="inlineStr"/>
      <c r="R15" s="25" t="inlineStr"/>
      <c r="S15" s="25" t="inlineStr"/>
      <c r="T15" s="24" t="inlineStr"/>
      <c r="U15" s="24" t="inlineStr"/>
      <c r="V15" s="24" t="inlineStr"/>
      <c r="W15" s="24" t="inlineStr"/>
      <c r="X15" s="24" t="inlineStr"/>
      <c r="Y15" s="24" t="inlineStr"/>
      <c r="Z15" s="24" t="inlineStr"/>
      <c r="AA15" s="24" t="inlineStr"/>
      <c r="AB15" s="24" t="inlineStr"/>
      <c r="AC15" s="24" t="inlineStr"/>
      <c r="AD15" s="24" t="inlineStr"/>
      <c r="AE15" s="24" t="inlineStr"/>
      <c r="AF15" s="24" t="inlineStr"/>
      <c r="AG15" s="24" t="inlineStr"/>
    </row>
    <row r="16" ht="26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6">
        <f>IF(COUNTA($F16,$B16,$C16,$D16)=4,"elec_"&amp;$F16&amp;"_"&amp;$B16&amp;"_"&amp;TEXT($C16,"00")&amp;"_"&amp;TEXT($D16,"00"),"")</f>
        <v/>
      </c>
      <c r="H16" s="24" t="inlineStr"/>
      <c r="I16" s="24" t="inlineStr"/>
      <c r="J16" s="24" t="inlineStr"/>
      <c r="K16" s="24" t="inlineStr"/>
      <c r="L16" s="24" t="inlineStr"/>
      <c r="M16" s="24" t="inlineStr"/>
      <c r="N16" s="24" t="inlineStr"/>
      <c r="O16" s="24" t="inlineStr"/>
      <c r="P16" s="24" t="inlineStr"/>
      <c r="Q16" s="24" t="inlineStr"/>
      <c r="R16" s="25" t="inlineStr"/>
      <c r="S16" s="25" t="inlineStr"/>
      <c r="T16" s="24" t="inlineStr"/>
      <c r="U16" s="24" t="inlineStr"/>
      <c r="V16" s="24" t="inlineStr"/>
      <c r="W16" s="24" t="inlineStr"/>
      <c r="X16" s="24" t="inlineStr"/>
      <c r="Y16" s="24" t="inlineStr"/>
      <c r="Z16" s="24" t="inlineStr"/>
      <c r="AA16" s="24" t="inlineStr"/>
      <c r="AB16" s="24" t="inlineStr"/>
      <c r="AC16" s="24" t="inlineStr"/>
      <c r="AD16" s="24" t="inlineStr"/>
      <c r="AE16" s="24" t="inlineStr"/>
      <c r="AF16" s="24" t="inlineStr"/>
      <c r="AG16" s="24" t="inlineStr"/>
    </row>
    <row r="17" ht="26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6">
        <f>IF(COUNTA($F17,$B17,$C17,$D17)=4,"elec_"&amp;$F17&amp;"_"&amp;$B17&amp;"_"&amp;TEXT($C17,"00")&amp;"_"&amp;TEXT($D17,"00"),"")</f>
        <v/>
      </c>
      <c r="H17" s="24" t="inlineStr"/>
      <c r="I17" s="24" t="inlineStr"/>
      <c r="J17" s="24" t="inlineStr"/>
      <c r="K17" s="24" t="inlineStr"/>
      <c r="L17" s="24" t="inlineStr"/>
      <c r="M17" s="24" t="inlineStr"/>
      <c r="N17" s="24" t="inlineStr"/>
      <c r="O17" s="24" t="inlineStr"/>
      <c r="P17" s="24" t="inlineStr"/>
      <c r="Q17" s="24" t="inlineStr"/>
      <c r="R17" s="25" t="inlineStr"/>
      <c r="S17" s="25" t="inlineStr"/>
      <c r="T17" s="24" t="inlineStr"/>
      <c r="U17" s="24" t="inlineStr"/>
      <c r="V17" s="24" t="inlineStr"/>
      <c r="W17" s="24" t="inlineStr"/>
      <c r="X17" s="24" t="inlineStr"/>
      <c r="Y17" s="24" t="inlineStr"/>
      <c r="Z17" s="24" t="inlineStr"/>
      <c r="AA17" s="24" t="inlineStr"/>
      <c r="AB17" s="24" t="inlineStr"/>
      <c r="AC17" s="24" t="inlineStr"/>
      <c r="AD17" s="24" t="inlineStr"/>
      <c r="AE17" s="24" t="inlineStr"/>
      <c r="AF17" s="24" t="inlineStr"/>
      <c r="AG17" s="24" t="inlineStr"/>
    </row>
  </sheetData>
  <mergeCells count="5">
    <mergeCell ref="S1:U1"/>
    <mergeCell ref="A1:F1"/>
    <mergeCell ref="V1:AC1"/>
    <mergeCell ref="I1:M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7" t="inlineStr">
        <is>
          <t>CBT 문항 콘텐츠 작성 규칙 (v1)</t>
        </is>
      </c>
      <c r="B1" s="28" t="inlineStr"/>
    </row>
    <row r="2">
      <c r="A2" s="29" t="inlineStr"/>
      <c r="B2" s="30" t="inlineStr"/>
    </row>
    <row r="3">
      <c r="A3" s="27" t="inlineStr">
        <is>
          <t>[문항코드 규칙]</t>
        </is>
      </c>
      <c r="B3" s="28" t="inlineStr"/>
    </row>
    <row r="4">
      <c r="A4" s="29" t="inlineStr">
        <is>
          <t>형식</t>
        </is>
      </c>
      <c r="B4" s="30" t="inlineStr">
        <is>
          <t>elec_&lt;교재구분&gt;_&lt;연도&gt;_&lt;회차2자리&gt;_&lt;번호2자리&gt;</t>
        </is>
      </c>
    </row>
    <row r="5">
      <c r="A5" s="29" t="inlineStr">
        <is>
          <t>예시</t>
        </is>
      </c>
      <c r="B5" s="30" t="inlineStr">
        <is>
          <t>elec_A_2022_01_01  (교재 A · 2022년 · 1회 · 1번)</t>
        </is>
      </c>
    </row>
    <row r="6">
      <c r="A6" s="29" t="inlineStr">
        <is>
          <t>비고</t>
        </is>
      </c>
      <c r="B6" s="30" t="inlineStr">
        <is>
          <t>정렬·식별 키.</t>
        </is>
      </c>
    </row>
    <row r="7">
      <c r="A7" s="29" t="inlineStr"/>
      <c r="B7" s="30" t="inlineStr"/>
    </row>
    <row r="8">
      <c r="A8" s="27" t="inlineStr">
        <is>
          <t>[자동 생성 — 문항코드]</t>
        </is>
      </c>
      <c r="B8" s="28" t="inlineStr"/>
    </row>
    <row r="9">
      <c r="A9" s="29" t="inlineStr">
        <is>
          <t>샘플(3~12행)</t>
        </is>
      </c>
      <c r="B9" s="30" t="inlineStr">
        <is>
          <t>문항코드 = 정적값(고정). 그대로 import 안전.</t>
        </is>
      </c>
    </row>
    <row r="10">
      <c r="A10" s="29" t="inlineStr">
        <is>
          <t>작성행(13행~)</t>
        </is>
      </c>
      <c r="B10" s="30" t="inlineStr">
        <is>
          <t>문항코드 = 수식(연노랑). 출처만 채우면 즉시 표시 — 작성 편의용.</t>
        </is>
      </c>
    </row>
    <row r="11">
      <c r="A11" s="29" t="inlineStr">
        <is>
          <t>수식</t>
        </is>
      </c>
      <c r="B11" s="30">
        <f>IF(COUNTA(...)=4,"elec_"&amp;교재구분&amp;"_"&amp;연도&amp;"_"&amp;TEXT(회차,"00")&amp;"_"&amp;TEXT(번호,"00"),"")</f>
        <v/>
      </c>
    </row>
    <row r="12">
      <c r="A12" s="29" t="inlineStr">
        <is>
          <t>안전장치</t>
        </is>
      </c>
      <c r="B12" s="30" t="inlineStr">
        <is>
          <t>엑셀 수식은 저장 전 미계산일 수 있으나, 서버(일괄등록)가 출처로 문항코드를 재계산하므로 비어도 안전.</t>
        </is>
      </c>
    </row>
    <row r="13">
      <c r="A13" s="29" t="inlineStr">
        <is>
          <t>이미지명</t>
        </is>
      </c>
      <c r="B13" s="30" t="inlineStr">
        <is>
          <t>엑셀에서 자동 생성하지 않음. 그림 업로드 시 서버가 {문항코드}_{슬롯}{순번}.png 로 부여(고정). 본문/그림셀엔 그 이름을 그대로 참조.</t>
        </is>
      </c>
    </row>
    <row r="14">
      <c r="A14" s="29" t="inlineStr"/>
      <c r="B14" s="30" t="inlineStr"/>
    </row>
    <row r="15">
      <c r="A15" s="27" t="inlineStr">
        <is>
          <t>[이미지 파일명 규칙]</t>
        </is>
      </c>
      <c r="B15" s="28" t="inlineStr"/>
    </row>
    <row r="16">
      <c r="A16" s="29" t="inlineStr">
        <is>
          <t>형식</t>
        </is>
      </c>
      <c r="B16" s="30" t="inlineStr">
        <is>
          <t>{문항코드}_{슬롯}{순번}.png  (업로드 시 자동 부여)</t>
        </is>
      </c>
    </row>
    <row r="17">
      <c r="A17" s="29" t="inlineStr">
        <is>
          <t>슬롯</t>
        </is>
      </c>
      <c r="B17" s="30" t="inlineStr">
        <is>
          <t>발문=stem · 보기=opt1~opt4 · 해설=exp · 오답분석=wrong · 학습포인트=lp</t>
        </is>
      </c>
    </row>
    <row r="18">
      <c r="A18" s="29" t="inlineStr">
        <is>
          <t>예시</t>
        </is>
      </c>
      <c r="B18" s="30" t="inlineStr">
        <is>
          <t>elec_A_2022_01_39_lp1.png  (39번 학습포인트 1번 그림)</t>
        </is>
      </c>
    </row>
    <row r="19">
      <c r="A19" s="29" t="inlineStr">
        <is>
          <t>참조</t>
        </is>
      </c>
      <c r="B19" s="30" t="inlineStr">
        <is>
          <t>셀에는 &lt;img src="elec_A_2022_01_39_lp1.png"&gt; 형태로 본문 어디에나</t>
        </is>
      </c>
    </row>
    <row r="20">
      <c r="A20" s="29" t="inlineStr"/>
      <c r="B20" s="30" t="inlineStr"/>
    </row>
    <row r="21">
      <c r="A21" s="27" t="inlineStr">
        <is>
          <t>[허용 HTML 태그]</t>
        </is>
      </c>
      <c r="B21" s="28" t="inlineStr"/>
    </row>
    <row r="22">
      <c r="A22" s="29" t="inlineStr">
        <is>
          <t>강조/첨자</t>
        </is>
      </c>
      <c r="B22" s="30" t="inlineStr">
        <is>
          <t>&lt;strong&gt; &lt;em&gt; &lt;u&gt; &lt;sub&gt; &lt;sup&gt;</t>
        </is>
      </c>
    </row>
    <row r="23">
      <c r="A23" s="29" t="inlineStr">
        <is>
          <t>줄바꿈</t>
        </is>
      </c>
      <c r="B23" s="30" t="inlineStr">
        <is>
          <t>&lt;br&gt;</t>
        </is>
      </c>
    </row>
    <row r="24">
      <c r="A24" s="29" t="inlineStr">
        <is>
          <t>그림</t>
        </is>
      </c>
      <c r="B24" s="30" t="inlineStr">
        <is>
          <t>&lt;img src="파일명"&gt;</t>
        </is>
      </c>
    </row>
    <row r="25">
      <c r="A25" s="29" t="inlineStr">
        <is>
          <t>박스(틀)</t>
        </is>
      </c>
      <c r="B25" s="30" t="inlineStr">
        <is>
          <t>&lt;div style="..."&gt; — 아래 표준 스니펫만</t>
        </is>
      </c>
    </row>
    <row r="26">
      <c r="A26" s="29" t="inlineStr">
        <is>
          <t>특수문자</t>
        </is>
      </c>
      <c r="B26" s="30" t="inlineStr">
        <is>
          <t>&amp;lt;는 &lt; · &amp;gt;는 &gt; · &amp;amp;는 &amp;</t>
        </is>
      </c>
    </row>
    <row r="27">
      <c r="A27" s="29" t="inlineStr"/>
      <c r="B27" s="30" t="inlineStr"/>
    </row>
    <row r="28">
      <c r="A28" s="27" t="inlineStr">
        <is>
          <t>[금지 — 대체 방법]</t>
        </is>
      </c>
      <c r="B28" s="28" t="inlineStr"/>
    </row>
    <row r="29">
      <c r="A29" s="29" t="inlineStr">
        <is>
          <t>&lt;ol&gt;&lt;ul&gt;&lt;li&gt;</t>
        </is>
      </c>
      <c r="B29" s="30" t="inlineStr">
        <is>
          <t>줄마다 &lt;br&gt;, 번호는 원문자 ①②③④ 로 직접 입력</t>
        </is>
      </c>
    </row>
    <row r="30">
      <c r="A30" s="29" t="inlineStr">
        <is>
          <t>&lt;table&gt;</t>
        </is>
      </c>
      <c r="B30" s="30" t="inlineStr">
        <is>
          <t>표·행렬은 LaTeX  $$\begin{array}{...}\end{array}$$</t>
        </is>
      </c>
    </row>
    <row r="31">
      <c r="A31" s="29" t="inlineStr">
        <is>
          <t>&lt;p&gt;</t>
        </is>
      </c>
      <c r="B31" s="30" t="inlineStr">
        <is>
          <t>문단 구분은 &lt;br&gt;&lt;br&gt;</t>
        </is>
      </c>
    </row>
    <row r="32">
      <c r="A32" s="29" t="inlineStr">
        <is>
          <t>class="..."</t>
        </is>
      </c>
      <c r="B32" s="30" t="inlineStr">
        <is>
          <t>모양은 class 금지 → inline style(아래)만</t>
        </is>
      </c>
    </row>
    <row r="33">
      <c r="A33" s="29" t="inlineStr"/>
      <c r="B33" s="30" t="inlineStr"/>
    </row>
    <row r="34">
      <c r="A34" s="27" t="inlineStr">
        <is>
          <t>[수식 — LaTeX / KaTeX]</t>
        </is>
      </c>
      <c r="B34" s="28" t="inlineStr"/>
    </row>
    <row r="35">
      <c r="A35" s="29" t="inlineStr">
        <is>
          <t>인라인</t>
        </is>
      </c>
      <c r="B35" s="30" t="inlineStr">
        <is>
          <t>$ ... $   예) 저항 $R=\dfrac{V}{I}$</t>
        </is>
      </c>
    </row>
    <row r="36">
      <c r="A36" s="29" t="inlineStr">
        <is>
          <t>디스플레이</t>
        </is>
      </c>
      <c r="B36" s="30" t="inlineStr">
        <is>
          <t>$$ ... $$   예) $$P=VI=I^2 R$$</t>
        </is>
      </c>
    </row>
    <row r="37">
      <c r="A37" s="29" t="inlineStr">
        <is>
          <t>가능 환경</t>
        </is>
      </c>
      <c r="B37" s="30" t="inlineStr">
        <is>
          <t>array · matrix · cases · aligned</t>
        </is>
      </c>
    </row>
    <row r="38">
      <c r="A38" s="29" t="inlineStr">
        <is>
          <t>불가 환경</t>
        </is>
      </c>
      <c r="B38" s="30" t="inlineStr">
        <is>
          <t>enumerate · itemize · tabular  (목록은 &lt;br&gt;+원문자)</t>
        </is>
      </c>
    </row>
    <row r="39">
      <c r="A39" s="29" t="inlineStr"/>
      <c r="B39" s="30" t="inlineStr"/>
    </row>
    <row r="40">
      <c r="A40" s="27" t="inlineStr">
        <is>
          <t>[박스 표준 스니펫 — 독끝 학습 Point · 회색]</t>
        </is>
      </c>
      <c r="B40" s="28" t="inlineStr"/>
    </row>
    <row r="41">
      <c r="A41" s="29" t="inlineStr">
        <is>
          <t>스니펫</t>
        </is>
      </c>
      <c r="B41" s="30" t="inlineStr">
        <is>
          <t>&lt;div style="border:1px solid #cbd5e1;background:#f1f5f9;border-radius:8px;padding:10px 14px;margin:8px 0;"&gt;
&lt;strong style="color:#475569;"&gt;독끝 학습 Point&lt;/strong&gt;&lt;br&gt; $$...$$ 또는 텍스트 &lt;/div&gt;</t>
        </is>
      </c>
    </row>
    <row r="42">
      <c r="A42" s="29" t="inlineStr">
        <is>
          <t>규칙</t>
        </is>
      </c>
      <c r="B42" s="30" t="inlineStr">
        <is>
          <t>핵심공식/주의 2종 폐기 → 회색 「독끝 학습 Point」 박스 하나로 통일. style 값 변경·박스 중첩 금지.</t>
        </is>
      </c>
    </row>
    <row r="43">
      <c r="A43" s="29" t="inlineStr"/>
      <c r="B43" s="30" t="inlineStr"/>
    </row>
    <row r="44">
      <c r="A44" s="27" t="inlineStr">
        <is>
          <t>[제출 전 체크]</t>
        </is>
      </c>
      <c r="B44" s="28" t="inlineStr"/>
    </row>
    <row r="45">
      <c r="A45" s="29" t="inlineStr">
        <is>
          <t>1</t>
        </is>
      </c>
      <c r="B45" s="30" t="inlineStr">
        <is>
          <t>&lt;ol&gt; &lt;ul&gt; &lt;li&gt; &lt;table&gt; &lt;p&gt; 안 썼나?</t>
        </is>
      </c>
    </row>
    <row r="46">
      <c r="A46" s="29" t="inlineStr">
        <is>
          <t>2</t>
        </is>
      </c>
      <c r="B46" s="30" t="inlineStr">
        <is>
          <t>class= 안 썼나? 모양은 전부 style= 인가?</t>
        </is>
      </c>
    </row>
    <row r="47">
      <c r="A47" s="29" t="inlineStr">
        <is>
          <t>3</t>
        </is>
      </c>
      <c r="B47" s="30" t="inlineStr">
        <is>
          <t>번호는 원문자 ①②③ 인가?</t>
        </is>
      </c>
    </row>
    <row r="48">
      <c r="A48" s="29" t="inlineStr">
        <is>
          <t>4</t>
        </is>
      </c>
      <c r="B48" s="30" t="inlineStr">
        <is>
          <t>표는 &lt;table&gt; 아니라 $$\begin{array}$$ 인가?</t>
        </is>
      </c>
    </row>
    <row r="49">
      <c r="A49" s="29" t="inlineStr">
        <is>
          <t>5</t>
        </is>
      </c>
      <c r="B49" s="30" t="inlineStr">
        <is>
          <t>수식은 $…$ / $$…$$ 안에 있나?</t>
        </is>
      </c>
    </row>
    <row r="50">
      <c r="A50" s="29" t="inlineStr">
        <is>
          <t>6</t>
        </is>
      </c>
      <c r="B50" s="30" t="inlineStr">
        <is>
          <t>이미지 파일명이 {문항코드}_{슬롯}{순번}.png 인가?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72" customWidth="1" min="4" max="4"/>
  </cols>
  <sheetData>
    <row r="1">
      <c r="A1" s="1" t="inlineStr">
        <is>
          <t>번호</t>
        </is>
      </c>
      <c r="B1" s="1" t="inlineStr">
        <is>
          <t>문항코드</t>
        </is>
      </c>
      <c r="C1" s="1" t="inlineStr">
        <is>
          <t>과목</t>
        </is>
      </c>
      <c r="D1" s="1" t="inlineStr">
        <is>
          <t>발문 요약</t>
        </is>
      </c>
    </row>
    <row r="2">
      <c r="A2" s="24" t="n">
        <v>1</v>
      </c>
      <c r="B2" s="24" t="inlineStr">
        <is>
          <t>elec_A_2022_01_01</t>
        </is>
      </c>
      <c r="C2" s="24" t="inlineStr">
        <is>
          <t>전기이론</t>
        </is>
      </c>
      <c r="D2" s="25" t="inlineStr">
        <is>
          <t>콘덴서의 정전용량에 대한 설명으로 틀린 것은?</t>
        </is>
      </c>
    </row>
    <row r="3">
      <c r="A3" s="24" t="n">
        <v>2</v>
      </c>
      <c r="B3" s="24" t="inlineStr">
        <is>
          <t>elec_A_2022_01_02</t>
        </is>
      </c>
      <c r="C3" s="24" t="inlineStr">
        <is>
          <t>전기이론</t>
        </is>
      </c>
      <c r="D3" s="25" t="inlineStr">
        <is>
          <t>정전에너지 W[\text{J}] 를 구하는 식으로 옳은 것은? (단, C 는 콘덴…</t>
        </is>
      </c>
    </row>
    <row r="4">
      <c r="A4" s="24" t="n">
        <v>3</v>
      </c>
      <c r="B4" s="24" t="inlineStr">
        <is>
          <t>elec_A_2022_01_05</t>
        </is>
      </c>
      <c r="C4" s="24" t="inlineStr">
        <is>
          <t>전기이론</t>
        </is>
      </c>
      <c r="D4" s="25" t="inlineStr">
        <is>
          <t>평형 3상 교류회로에서 Y결선할 때 선간전압 V_l 과 상전압 V_p 의 관계는?</t>
        </is>
      </c>
    </row>
    <row r="5">
      <c r="A5" s="24" t="n">
        <v>4</v>
      </c>
      <c r="B5" s="24" t="inlineStr">
        <is>
          <t>elec_A_2022_01_07</t>
        </is>
      </c>
      <c r="C5" s="24" t="inlineStr">
        <is>
          <t>전기이론</t>
        </is>
      </c>
      <c r="D5" s="25" t="inlineStr">
        <is>
          <t>20분간 876{,}000[\text{J}] 의 일을 할 때 전력은 약 몇 [\t…</t>
        </is>
      </c>
    </row>
    <row r="6">
      <c r="A6" s="24" t="n">
        <v>5</v>
      </c>
      <c r="B6" s="24" t="inlineStr">
        <is>
          <t>elec_A_2022_01_11</t>
        </is>
      </c>
      <c r="C6" s="24" t="inlineStr">
        <is>
          <t>전기이론</t>
        </is>
      </c>
      <c r="D6" s="25" t="inlineStr">
        <is>
          <t>다음 전압 파형의 주파수는 약 몇 [\text{Hz}] 인가? e=100\sin\…</t>
        </is>
      </c>
    </row>
    <row r="7">
      <c r="A7" s="24" t="n">
        <v>6</v>
      </c>
      <c r="B7" s="24" t="inlineStr">
        <is>
          <t>elec_A_2022_01_13</t>
        </is>
      </c>
      <c r="C7" s="24" t="inlineStr">
        <is>
          <t>전기이론</t>
        </is>
      </c>
      <c r="D7" s="25" t="inlineStr">
        <is>
          <t>m_1=4\times10^{-5}[\text{Wb}], m_2=6\times10^…</t>
        </is>
      </c>
    </row>
    <row r="8">
      <c r="A8" s="24" t="n">
        <v>7</v>
      </c>
      <c r="B8" s="24" t="inlineStr">
        <is>
          <t>elec_A_2022_01_23</t>
        </is>
      </c>
      <c r="C8" s="24" t="inlineStr">
        <is>
          <t>전기기기</t>
        </is>
      </c>
      <c r="D8" s="25" t="inlineStr">
        <is>
          <t>동기 전동기 전기자 반작용에 대한 설명이다. 공급전압에 대한 앞선 전류의 전기자 …</t>
        </is>
      </c>
    </row>
    <row r="9">
      <c r="A9" s="24" t="n">
        <v>8</v>
      </c>
      <c r="B9" s="24" t="inlineStr">
        <is>
          <t>elec_A_2022_01_32</t>
        </is>
      </c>
      <c r="C9" s="24" t="inlineStr">
        <is>
          <t>전기기기</t>
        </is>
      </c>
      <c r="D9" s="25" t="inlineStr">
        <is>
          <t>200[\text{kVA}] 의 단상 변압기가 있다. 철손이 1.6[\text{k…</t>
        </is>
      </c>
    </row>
    <row r="10">
      <c r="A10" s="24" t="n">
        <v>9</v>
      </c>
      <c r="B10" s="24" t="inlineStr">
        <is>
          <t>elec_A_2022_01_39</t>
        </is>
      </c>
      <c r="C10" s="24" t="inlineStr">
        <is>
          <t>전기설비</t>
        </is>
      </c>
      <c r="D10" s="25" t="inlineStr">
        <is>
          <t>역병렬 결합의 SCR의 특성과 같은 반도체 소자는?</t>
        </is>
      </c>
    </row>
    <row r="11">
      <c r="A11" s="24" t="n">
        <v>10</v>
      </c>
      <c r="B11" s="24" t="inlineStr">
        <is>
          <t>elec_A_2022_01_60</t>
        </is>
      </c>
      <c r="C11" s="24" t="inlineStr">
        <is>
          <t>전기설비</t>
        </is>
      </c>
      <c r="D11" s="25" t="inlineStr">
        <is>
          <t>소맥분, 전분 기타 가연성의 분진이 존재하는 곳의 저압 옥내 배선 공사 방법에 해…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2026-05-19T08:38:20Z</dcterms:created>
  <dcterms:modified xmlns:dcterms="http://purl.org/dc/terms/" xmlns:xsi="http://www.w3.org/2001/XMLSchema-instance" xsi:type="dcterms:W3CDTF">2026-05-19T08:38:20Z</dcterms:modified>
</cp:coreProperties>
</file>